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ftar Menu" sheetId="1" state="visible" r:id="rId1"/>
    <sheet xmlns:r="http://schemas.openxmlformats.org/officeDocument/2006/relationships" name="Kalkulator Pesan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\p #,##0"/>
  </numFmts>
  <fonts count="6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2F5F9"/>
        <bgColor rgb="00F2F5F9"/>
      </patternFill>
    </fill>
    <fill>
      <patternFill patternType="solid">
        <fgColor rgb="00D9E1F2"/>
        <bgColor rgb="00D9E1F2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double">
        <color rgb="001F4E78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4" fillId="4" borderId="1" pivotButton="0" quotePrefix="0" xfId="0"/>
    <xf numFmtId="164" fontId="4" fillId="4" borderId="1" applyAlignment="1" pivotButton="0" quotePrefix="0" xfId="0">
      <alignment horizontal="right"/>
    </xf>
    <xf numFmtId="0" fontId="0" fillId="5" borderId="2" pivotButton="0" quotePrefix="0" xfId="0"/>
    <xf numFmtId="0" fontId="5" fillId="5" borderId="2" applyAlignment="1" pivotButton="0" quotePrefix="0" xfId="0">
      <alignment horizontal="right"/>
    </xf>
    <xf numFmtId="164" fontId="5" fillId="5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38" customWidth="1" min="3" max="3"/>
    <col width="35" customWidth="1" min="4" max="4"/>
    <col width="16" customWidth="1" min="5" max="5"/>
    <col width="14" customWidth="1" min="6" max="6"/>
  </cols>
  <sheetData>
    <row r="1">
      <c r="A1" s="1" t="inlineStr">
        <is>
          <t>WARKOP SEJAHTERA</t>
        </is>
      </c>
    </row>
    <row r="2">
      <c r="A2" s="2" t="inlineStr">
        <is>
          <t>Daftar Makanan, Minuman, &amp; Camilan</t>
        </is>
      </c>
    </row>
    <row r="3"/>
    <row r="4">
      <c r="A4" s="3" t="inlineStr">
        <is>
          <t>No</t>
        </is>
      </c>
      <c r="B4" s="3" t="inlineStr">
        <is>
          <t>Kategori</t>
        </is>
      </c>
      <c r="C4" s="3" t="inlineStr">
        <is>
          <t>Nama Menu</t>
        </is>
      </c>
      <c r="D4" s="3" t="inlineStr">
        <is>
          <t>Deskripsi / Varian</t>
        </is>
      </c>
      <c r="E4" s="3" t="inlineStr">
        <is>
          <t>Harga</t>
        </is>
      </c>
      <c r="F4" s="3" t="inlineStr">
        <is>
          <t>Status</t>
        </is>
      </c>
    </row>
    <row r="5">
      <c r="A5" s="4" t="n">
        <v>1</v>
      </c>
      <c r="B5" s="4" t="inlineStr">
        <is>
          <t>Makanan</t>
        </is>
      </c>
      <c r="C5" s="5" t="inlineStr">
        <is>
          <t>Indomie Goreng Original</t>
        </is>
      </c>
      <c r="D5" s="5" t="inlineStr">
        <is>
          <t>Telor / Tanpa Telor</t>
        </is>
      </c>
      <c r="E5" s="6" t="n">
        <v>8000</v>
      </c>
      <c r="F5" s="7" t="inlineStr">
        <is>
          <t>Tersedia</t>
        </is>
      </c>
    </row>
    <row r="6">
      <c r="A6" s="8" t="n">
        <v>2</v>
      </c>
      <c r="B6" s="8" t="inlineStr">
        <is>
          <t>Makanan</t>
        </is>
      </c>
      <c r="C6" s="9" t="inlineStr">
        <is>
          <t>Indomie Goreng Plus Telor</t>
        </is>
      </c>
      <c r="D6" s="9" t="inlineStr">
        <is>
          <t>Telor Ceplok / Dadar</t>
        </is>
      </c>
      <c r="E6" s="10" t="n">
        <v>12000</v>
      </c>
      <c r="F6" s="7" t="inlineStr">
        <is>
          <t>Tersedia</t>
        </is>
      </c>
    </row>
    <row r="7">
      <c r="A7" s="4" t="n">
        <v>3</v>
      </c>
      <c r="B7" s="4" t="inlineStr">
        <is>
          <t>Makanan</t>
        </is>
      </c>
      <c r="C7" s="5" t="inlineStr">
        <is>
          <t>Indomie Kuah (Soto/Ayam Bawang)</t>
        </is>
      </c>
      <c r="D7" s="5" t="inlineStr">
        <is>
          <t>Telor + Cabai Rawit</t>
        </is>
      </c>
      <c r="E7" s="6" t="n">
        <v>12000</v>
      </c>
      <c r="F7" s="7" t="inlineStr">
        <is>
          <t>Tersedia</t>
        </is>
      </c>
    </row>
    <row r="8">
      <c r="A8" s="8" t="n">
        <v>4</v>
      </c>
      <c r="B8" s="8" t="inlineStr">
        <is>
          <t>Makanan</t>
        </is>
      </c>
      <c r="C8" s="9" t="inlineStr">
        <is>
          <t>Indomie Double</t>
        </is>
      </c>
      <c r="D8" s="9" t="inlineStr">
        <is>
          <t>Porsi double goreng/kuah</t>
        </is>
      </c>
      <c r="E8" s="10" t="n">
        <v>15000</v>
      </c>
      <c r="F8" s="7" t="inlineStr">
        <is>
          <t>Tersedia</t>
        </is>
      </c>
    </row>
    <row r="9">
      <c r="A9" s="4" t="n">
        <v>5</v>
      </c>
      <c r="B9" s="4" t="inlineStr">
        <is>
          <t>Makanan</t>
        </is>
      </c>
      <c r="C9" s="5" t="inlineStr">
        <is>
          <t>Nasi Goreng Warkop</t>
        </is>
      </c>
      <c r="D9" s="5" t="inlineStr">
        <is>
          <t>Ayam suwir + Telor + Kerupuk</t>
        </is>
      </c>
      <c r="E9" s="6" t="n">
        <v>15000</v>
      </c>
      <c r="F9" s="7" t="inlineStr">
        <is>
          <t>Tersedia</t>
        </is>
      </c>
    </row>
    <row r="10">
      <c r="A10" s="8" t="n">
        <v>6</v>
      </c>
      <c r="B10" s="8" t="inlineStr">
        <is>
          <t>Makanan</t>
        </is>
      </c>
      <c r="C10" s="9" t="inlineStr">
        <is>
          <t>Nasi Magelangan (Nasi+Mie)</t>
        </is>
      </c>
      <c r="D10" s="9" t="inlineStr">
        <is>
          <t>Pedas / Sedang</t>
        </is>
      </c>
      <c r="E10" s="10" t="n">
        <v>16000</v>
      </c>
      <c r="F10" s="7" t="inlineStr">
        <is>
          <t>Tersedia</t>
        </is>
      </c>
    </row>
    <row r="11">
      <c r="A11" s="4" t="n">
        <v>7</v>
      </c>
      <c r="B11" s="4" t="inlineStr">
        <is>
          <t>Makanan</t>
        </is>
      </c>
      <c r="C11" s="5" t="inlineStr">
        <is>
          <t>Nasi Omelet Telur</t>
        </is>
      </c>
      <c r="D11" s="5" t="inlineStr">
        <is>
          <t>Nasi + Omelet Indomie</t>
        </is>
      </c>
      <c r="E11" s="6" t="n">
        <v>13000</v>
      </c>
      <c r="F11" s="7" t="inlineStr">
        <is>
          <t>Tersedia</t>
        </is>
      </c>
    </row>
    <row r="12">
      <c r="A12" s="8" t="n">
        <v>8</v>
      </c>
      <c r="B12" s="8" t="inlineStr">
        <is>
          <t>Makanan</t>
        </is>
      </c>
      <c r="C12" s="9" t="inlineStr">
        <is>
          <t>Nasi Ayam Geprek</t>
        </is>
      </c>
      <c r="D12" s="9" t="inlineStr">
        <is>
          <t>Sambal korek + Nasi</t>
        </is>
      </c>
      <c r="E12" s="10" t="n">
        <v>18000</v>
      </c>
      <c r="F12" s="7" t="inlineStr">
        <is>
          <t>Tersedia</t>
        </is>
      </c>
    </row>
    <row r="13">
      <c r="A13" s="4" t="n">
        <v>9</v>
      </c>
      <c r="B13" s="4" t="inlineStr">
        <is>
          <t>Makanan</t>
        </is>
      </c>
      <c r="C13" s="5" t="inlineStr">
        <is>
          <t>Nasi Kucing / Nasi Bungkus</t>
        </is>
      </c>
      <c r="D13" s="5" t="inlineStr">
        <is>
          <t>Orek tempe / Teri / Sosis</t>
        </is>
      </c>
      <c r="E13" s="6" t="n">
        <v>6000</v>
      </c>
      <c r="F13" s="7" t="inlineStr">
        <is>
          <t>Tersedia</t>
        </is>
      </c>
    </row>
    <row r="14">
      <c r="A14" s="8" t="n">
        <v>10</v>
      </c>
      <c r="B14" s="8" t="inlineStr">
        <is>
          <t>Camilan</t>
        </is>
      </c>
      <c r="C14" s="9" t="inlineStr">
        <is>
          <t>Gorengan (Gorengan Hangat)</t>
        </is>
      </c>
      <c r="D14" s="9" t="inlineStr">
        <is>
          <t>Bakwan / Tahu Isi / Tempe Mendoan</t>
        </is>
      </c>
      <c r="E14" s="10" t="n">
        <v>2000</v>
      </c>
      <c r="F14" s="7" t="inlineStr">
        <is>
          <t>Tersedia</t>
        </is>
      </c>
    </row>
    <row r="15">
      <c r="A15" s="4" t="n">
        <v>11</v>
      </c>
      <c r="B15" s="4" t="inlineStr">
        <is>
          <t>Camilan</t>
        </is>
      </c>
      <c r="C15" s="5" t="inlineStr">
        <is>
          <t>Roti Bakar Coklat Keju</t>
        </is>
      </c>
      <c r="D15" s="5" t="inlineStr">
        <is>
          <t>Roti tawar bakar topping melimpah</t>
        </is>
      </c>
      <c r="E15" s="6" t="n">
        <v>12000</v>
      </c>
      <c r="F15" s="7" t="inlineStr">
        <is>
          <t>Tersedia</t>
        </is>
      </c>
    </row>
    <row r="16">
      <c r="A16" s="8" t="n">
        <v>12</v>
      </c>
      <c r="B16" s="8" t="inlineStr">
        <is>
          <t>Camilan</t>
        </is>
      </c>
      <c r="C16" s="9" t="inlineStr">
        <is>
          <t>Roti Bakar Srikaya / Kacang</t>
        </is>
      </c>
      <c r="D16" s="9" t="inlineStr">
        <is>
          <t>Pilihan rasa srikaya / kacang</t>
        </is>
      </c>
      <c r="E16" s="10" t="n">
        <v>10000</v>
      </c>
      <c r="F16" s="7" t="inlineStr">
        <is>
          <t>Tersedia</t>
        </is>
      </c>
    </row>
    <row r="17">
      <c r="A17" s="4" t="n">
        <v>13</v>
      </c>
      <c r="B17" s="4" t="inlineStr">
        <is>
          <t>Camilan</t>
        </is>
      </c>
      <c r="C17" s="5" t="inlineStr">
        <is>
          <t>Pisang Goreng Keju Coklat</t>
        </is>
      </c>
      <c r="D17" s="5" t="inlineStr">
        <is>
          <t>Pisang raja goreng crispy</t>
        </is>
      </c>
      <c r="E17" s="6" t="n">
        <v>12000</v>
      </c>
      <c r="F17" s="7" t="inlineStr">
        <is>
          <t>Tersedia</t>
        </is>
      </c>
    </row>
    <row r="18">
      <c r="A18" s="8" t="n">
        <v>14</v>
      </c>
      <c r="B18" s="8" t="inlineStr">
        <is>
          <t>Camilan</t>
        </is>
      </c>
      <c r="C18" s="9" t="inlineStr">
        <is>
          <t>Pancong Lumer Coklat Keju</t>
        </is>
      </c>
      <c r="D18" s="9" t="inlineStr">
        <is>
          <t>Setengah matang / Matang</t>
        </is>
      </c>
      <c r="E18" s="10" t="n">
        <v>12000</v>
      </c>
      <c r="F18" s="7" t="inlineStr">
        <is>
          <t>Tersedia</t>
        </is>
      </c>
    </row>
    <row r="19">
      <c r="A19" s="4" t="n">
        <v>15</v>
      </c>
      <c r="B19" s="4" t="inlineStr">
        <is>
          <t>Camilan</t>
        </is>
      </c>
      <c r="C19" s="5" t="inlineStr">
        <is>
          <t>Kentang Goreng (French Fries)</t>
        </is>
      </c>
      <c r="D19" s="5" t="inlineStr">
        <is>
          <t>Bumbu Balado / Keju / Asin</t>
        </is>
      </c>
      <c r="E19" s="6" t="n">
        <v>10000</v>
      </c>
      <c r="F19" s="7" t="inlineStr">
        <is>
          <t>Tersedia</t>
        </is>
      </c>
    </row>
    <row r="20">
      <c r="A20" s="8" t="n">
        <v>16</v>
      </c>
      <c r="B20" s="8" t="inlineStr">
        <is>
          <t>Camilan</t>
        </is>
      </c>
      <c r="C20" s="9" t="inlineStr">
        <is>
          <t>Sosis / Baso Goreng (Basreng)</t>
        </is>
      </c>
      <c r="D20" s="9" t="inlineStr">
        <is>
          <t>Isi 5 pcs + saus cabai</t>
        </is>
      </c>
      <c r="E20" s="10" t="n">
        <v>10000</v>
      </c>
      <c r="F20" s="7" t="inlineStr">
        <is>
          <t>Tersedia</t>
        </is>
      </c>
    </row>
    <row r="21">
      <c r="A21" s="4" t="n">
        <v>17</v>
      </c>
      <c r="B21" s="4" t="inlineStr">
        <is>
          <t>Camilan</t>
        </is>
      </c>
      <c r="C21" s="5" t="inlineStr">
        <is>
          <t>Dimsum Ayam (4 pcs)</t>
        </is>
      </c>
      <c r="D21" s="5" t="inlineStr">
        <is>
          <t>Dimsum ayam kukus + saus</t>
        </is>
      </c>
      <c r="E21" s="6" t="n">
        <v>13000</v>
      </c>
      <c r="F21" s="7" t="inlineStr">
        <is>
          <t>Tersedia</t>
        </is>
      </c>
    </row>
    <row r="22">
      <c r="A22" s="8" t="n">
        <v>18</v>
      </c>
      <c r="B22" s="8" t="inlineStr">
        <is>
          <t>Minuman</t>
        </is>
      </c>
      <c r="C22" s="9" t="inlineStr">
        <is>
          <t>Kopi Hitam Tubruk</t>
        </is>
      </c>
      <c r="D22" s="9" t="inlineStr">
        <is>
          <t>Kopi kapal api / Lampung</t>
        </is>
      </c>
      <c r="E22" s="10" t="n">
        <v>4000</v>
      </c>
      <c r="F22" s="7" t="inlineStr">
        <is>
          <t>Tersedia</t>
        </is>
      </c>
    </row>
    <row r="23">
      <c r="A23" s="4" t="n">
        <v>19</v>
      </c>
      <c r="B23" s="4" t="inlineStr">
        <is>
          <t>Minuman</t>
        </is>
      </c>
      <c r="C23" s="5" t="inlineStr">
        <is>
          <t>Kopi Susu Panas</t>
        </is>
      </c>
      <c r="D23" s="5" t="inlineStr">
        <is>
          <t>Kopi + Susu Kental Manis</t>
        </is>
      </c>
      <c r="E23" s="6" t="n">
        <v>5000</v>
      </c>
      <c r="F23" s="7" t="inlineStr">
        <is>
          <t>Tersedia</t>
        </is>
      </c>
    </row>
    <row r="24">
      <c r="A24" s="8" t="n">
        <v>20</v>
      </c>
      <c r="B24" s="8" t="inlineStr">
        <is>
          <t>Minuman</t>
        </is>
      </c>
      <c r="C24" s="9" t="inlineStr">
        <is>
          <t>Es Kopi Good Day (Freeze/Mocacinno)</t>
        </is>
      </c>
      <c r="D24" s="9" t="inlineStr">
        <is>
          <t>Dingin / Panas</t>
        </is>
      </c>
      <c r="E24" s="10" t="n">
        <v>6000</v>
      </c>
      <c r="F24" s="7" t="inlineStr">
        <is>
          <t>Tersedia</t>
        </is>
      </c>
    </row>
    <row r="25">
      <c r="A25" s="4" t="n">
        <v>21</v>
      </c>
      <c r="B25" s="4" t="inlineStr">
        <is>
          <t>Minuman</t>
        </is>
      </c>
      <c r="C25" s="5" t="inlineStr">
        <is>
          <t>Es Nutrisari (Jeruk Perah/Sweet Mango)</t>
        </is>
      </c>
      <c r="D25" s="5" t="inlineStr">
        <is>
          <t>Dingin / Panas</t>
        </is>
      </c>
      <c r="E25" s="6" t="n">
        <v>5000</v>
      </c>
      <c r="F25" s="7" t="inlineStr">
        <is>
          <t>Tersedia</t>
        </is>
      </c>
    </row>
    <row r="26">
      <c r="A26" s="8" t="n">
        <v>22</v>
      </c>
      <c r="B26" s="8" t="inlineStr">
        <is>
          <t>Minuman</t>
        </is>
      </c>
      <c r="C26" s="9" t="inlineStr">
        <is>
          <t>Es Teh Manis</t>
        </is>
      </c>
      <c r="D26" s="9" t="inlineStr">
        <is>
          <t>Teh manis segar</t>
        </is>
      </c>
      <c r="E26" s="10" t="n">
        <v>4000</v>
      </c>
      <c r="F26" s="7" t="inlineStr">
        <is>
          <t>Tersedia</t>
        </is>
      </c>
    </row>
    <row r="27">
      <c r="A27" s="4" t="n">
        <v>23</v>
      </c>
      <c r="B27" s="4" t="inlineStr">
        <is>
          <t>Minuman</t>
        </is>
      </c>
      <c r="C27" s="5" t="inlineStr">
        <is>
          <t>Teh Manis Panas</t>
        </is>
      </c>
      <c r="D27" s="5" t="inlineStr">
        <is>
          <t>Teh celup hangat</t>
        </is>
      </c>
      <c r="E27" s="6" t="n">
        <v>3000</v>
      </c>
      <c r="F27" s="7" t="inlineStr">
        <is>
          <t>Tersedia</t>
        </is>
      </c>
    </row>
    <row r="28">
      <c r="A28" s="8" t="n">
        <v>24</v>
      </c>
      <c r="B28" s="8" t="inlineStr">
        <is>
          <t>Minuman</t>
        </is>
      </c>
      <c r="C28" s="9" t="inlineStr">
        <is>
          <t>Es Jeruk Perah</t>
        </is>
      </c>
      <c r="D28" s="9" t="inlineStr">
        <is>
          <t>Jeruk asli segar</t>
        </is>
      </c>
      <c r="E28" s="10" t="n">
        <v>6000</v>
      </c>
      <c r="F28" s="7" t="inlineStr">
        <is>
          <t>Tersedia</t>
        </is>
      </c>
    </row>
    <row r="29">
      <c r="A29" s="4" t="n">
        <v>25</v>
      </c>
      <c r="B29" s="4" t="inlineStr">
        <is>
          <t>Minuman</t>
        </is>
      </c>
      <c r="C29" s="5" t="inlineStr">
        <is>
          <t>STMJ (Susu Telur Madu Jahe)</t>
        </is>
      </c>
      <c r="D29" s="5" t="inlineStr">
        <is>
          <t>Minuman stamina hangat</t>
        </is>
      </c>
      <c r="E29" s="6" t="n">
        <v>12000</v>
      </c>
      <c r="F29" s="7" t="inlineStr">
        <is>
          <t>Tersedia</t>
        </is>
      </c>
    </row>
    <row r="30">
      <c r="A30" s="8" t="n">
        <v>26</v>
      </c>
      <c r="B30" s="8" t="inlineStr">
        <is>
          <t>Minuman</t>
        </is>
      </c>
      <c r="C30" s="9" t="inlineStr">
        <is>
          <t>Wedang Jahe / Jahe Merah</t>
        </is>
      </c>
      <c r="D30" s="9" t="inlineStr">
        <is>
          <t>Jahe hangat alami</t>
        </is>
      </c>
      <c r="E30" s="10" t="n">
        <v>6000</v>
      </c>
      <c r="F30" s="7" t="inlineStr">
        <is>
          <t>Tersedia</t>
        </is>
      </c>
    </row>
    <row r="31">
      <c r="A31" s="4" t="n">
        <v>27</v>
      </c>
      <c r="B31" s="4" t="inlineStr">
        <is>
          <t>Minuman</t>
        </is>
      </c>
      <c r="C31" s="5" t="inlineStr">
        <is>
          <t>Es Extra Joss + Susu (Susu Joss)</t>
        </is>
      </c>
      <c r="D31" s="5" t="inlineStr">
        <is>
          <t>Minuman energi + susu</t>
        </is>
      </c>
      <c r="E31" s="6" t="n">
        <v>8000</v>
      </c>
      <c r="F31" s="7" t="inlineStr">
        <is>
          <t>Tersedia</t>
        </is>
      </c>
    </row>
    <row r="32">
      <c r="A32" s="8" t="n">
        <v>28</v>
      </c>
      <c r="B32" s="8" t="inlineStr">
        <is>
          <t>Minuman</t>
        </is>
      </c>
      <c r="C32" s="9" t="inlineStr">
        <is>
          <t>Es Kukubima + Susu</t>
        </is>
      </c>
      <c r="D32" s="9" t="inlineStr">
        <is>
          <t>Minuman energi + susu</t>
        </is>
      </c>
      <c r="E32" s="10" t="n">
        <v>8000</v>
      </c>
      <c r="F32" s="7" t="inlineStr">
        <is>
          <t>Tersedia</t>
        </is>
      </c>
    </row>
    <row r="33">
      <c r="A33" s="4" t="n">
        <v>29</v>
      </c>
      <c r="B33" s="4" t="inlineStr">
        <is>
          <t>Minuman</t>
        </is>
      </c>
      <c r="C33" s="5" t="inlineStr">
        <is>
          <t>Es Milo / Ovaltine</t>
        </is>
      </c>
      <c r="D33" s="5" t="inlineStr">
        <is>
          <t>Milo dingin / hangat</t>
        </is>
      </c>
      <c r="E33" s="6" t="n">
        <v>7000</v>
      </c>
      <c r="F33" s="7" t="inlineStr">
        <is>
          <t>Tersedia</t>
        </is>
      </c>
    </row>
    <row r="34">
      <c r="A34" s="8" t="n">
        <v>30</v>
      </c>
      <c r="B34" s="8" t="inlineStr">
        <is>
          <t>Minuman</t>
        </is>
      </c>
      <c r="C34" s="9" t="inlineStr">
        <is>
          <t>Air Mineral Botol (600ml)</t>
        </is>
      </c>
      <c r="D34" s="9" t="inlineStr">
        <is>
          <t>Dingin / Biasa</t>
        </is>
      </c>
      <c r="E34" s="10" t="n">
        <v>4000</v>
      </c>
      <c r="F34" s="7" t="inlineStr">
        <is>
          <t>Tersedia</t>
        </is>
      </c>
    </row>
  </sheetData>
  <dataValidations count="1">
    <dataValidation sqref="F5:F34" showDropDown="0" showInputMessage="0" showErrorMessage="0" allowBlank="1" type="list">
      <formula1>"Tersedia,Habis"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6" customWidth="1" min="3" max="3"/>
    <col width="15" customWidth="1" min="4" max="4"/>
    <col width="18" customWidth="1" min="5" max="5"/>
    <col width="30" customWidth="1" min="6" max="6"/>
  </cols>
  <sheetData>
    <row r="1">
      <c r="A1" s="1" t="inlineStr">
        <is>
          <t>KALKULATOR PESANAN KASIR</t>
        </is>
      </c>
    </row>
    <row r="2">
      <c r="A2" s="2" t="inlineStr">
        <is>
          <t>Simulasi Hitung Total Belanjaan Pelanggan</t>
        </is>
      </c>
    </row>
    <row r="3"/>
    <row r="4">
      <c r="A4" s="3" t="inlineStr">
        <is>
          <t>No</t>
        </is>
      </c>
      <c r="B4" s="3" t="inlineStr">
        <is>
          <t>Nama Menu</t>
        </is>
      </c>
      <c r="C4" s="3" t="inlineStr">
        <is>
          <t>Harga Satuan</t>
        </is>
      </c>
      <c r="D4" s="3" t="inlineStr">
        <is>
          <t>Jumlah (Qty)</t>
        </is>
      </c>
      <c r="E4" s="3" t="inlineStr">
        <is>
          <t>Subtotal</t>
        </is>
      </c>
      <c r="F4" s="3" t="inlineStr">
        <is>
          <t>Catatan</t>
        </is>
      </c>
    </row>
    <row r="5">
      <c r="A5" s="4" t="n">
        <v>1</v>
      </c>
      <c r="B5" s="5" t="inlineStr">
        <is>
          <t>Indomie Goreng Plus Telor</t>
        </is>
      </c>
      <c r="C5" s="6">
        <f>IFERROR(VLOOKUP(B5, 'Daftar Menu'!$C$5:$E$100, 3, FALSE), 0)</f>
        <v/>
      </c>
      <c r="D5" s="4" t="n">
        <v>2</v>
      </c>
      <c r="E5" s="6">
        <f>C5*D5</f>
        <v/>
      </c>
      <c r="F5" s="5" t="inlineStr">
        <is>
          <t>Telor setengah matang</t>
        </is>
      </c>
    </row>
    <row r="6">
      <c r="A6" s="8" t="n">
        <v>2</v>
      </c>
      <c r="B6" s="9" t="inlineStr">
        <is>
          <t>Es Teh Manis</t>
        </is>
      </c>
      <c r="C6" s="10">
        <f>IFERROR(VLOOKUP(B6, 'Daftar Menu'!$C$5:$E$100, 3, FALSE), 0)</f>
        <v/>
      </c>
      <c r="D6" s="8" t="n">
        <v>2</v>
      </c>
      <c r="E6" s="10">
        <f>C6*D6</f>
        <v/>
      </c>
      <c r="F6" s="9" t="inlineStr">
        <is>
          <t>Manis sedang</t>
        </is>
      </c>
    </row>
    <row r="7">
      <c r="A7" s="4" t="n">
        <v>3</v>
      </c>
      <c r="B7" s="5" t="inlineStr">
        <is>
          <t>Pisang Goreng Keju Coklat</t>
        </is>
      </c>
      <c r="C7" s="6">
        <f>IFERROR(VLOOKUP(B7, 'Daftar Menu'!$C$5:$E$100, 3, FALSE), 0)</f>
        <v/>
      </c>
      <c r="D7" s="4" t="n">
        <v>1</v>
      </c>
      <c r="E7" s="6">
        <f>C7*D7</f>
        <v/>
      </c>
      <c r="F7" s="5" t="inlineStr">
        <is>
          <t>Coklat banyakin</t>
        </is>
      </c>
    </row>
    <row r="8">
      <c r="A8" s="8" t="n">
        <v>4</v>
      </c>
      <c r="B8" s="9" t="inlineStr">
        <is>
          <t>Kopi Hitam Tubruk</t>
        </is>
      </c>
      <c r="C8" s="10">
        <f>IFERROR(VLOOKUP(B8, 'Daftar Menu'!$C$5:$E$100, 3, FALSE), 0)</f>
        <v/>
      </c>
      <c r="D8" s="8" t="n">
        <v>1</v>
      </c>
      <c r="E8" s="10">
        <f>C8*D8</f>
        <v/>
      </c>
      <c r="F8" s="9" t="inlineStr">
        <is>
          <t>Gula sedikit</t>
        </is>
      </c>
    </row>
    <row r="9">
      <c r="A9" s="4" t="n">
        <v>5</v>
      </c>
      <c r="B9" s="5" t="n"/>
      <c r="C9" s="6">
        <f>IFERROR(VLOOKUP(B9, 'Daftar Menu'!$C$5:$E$100, 3, FALSE), 0)</f>
        <v/>
      </c>
      <c r="D9" s="4" t="n"/>
      <c r="E9" s="6">
        <f>C9*D9</f>
        <v/>
      </c>
      <c r="F9" s="5" t="n"/>
    </row>
    <row r="10">
      <c r="A10" s="8" t="n">
        <v>6</v>
      </c>
      <c r="B10" s="9" t="n"/>
      <c r="C10" s="10">
        <f>IFERROR(VLOOKUP(B10, 'Daftar Menu'!$C$5:$E$100, 3, FALSE), 0)</f>
        <v/>
      </c>
      <c r="D10" s="8" t="n"/>
      <c r="E10" s="10">
        <f>C10*D10</f>
        <v/>
      </c>
      <c r="F10" s="9" t="n"/>
    </row>
    <row r="11">
      <c r="A11" s="4" t="n">
        <v>7</v>
      </c>
      <c r="B11" s="5" t="n"/>
      <c r="C11" s="6">
        <f>IFERROR(VLOOKUP(B11, 'Daftar Menu'!$C$5:$E$100, 3, FALSE), 0)</f>
        <v/>
      </c>
      <c r="D11" s="4" t="n"/>
      <c r="E11" s="6">
        <f>C11*D11</f>
        <v/>
      </c>
      <c r="F11" s="5" t="n"/>
    </row>
    <row r="12">
      <c r="A12" s="8" t="n">
        <v>8</v>
      </c>
      <c r="B12" s="9" t="n"/>
      <c r="C12" s="10">
        <f>IFERROR(VLOOKUP(B12, 'Daftar Menu'!$C$5:$E$100, 3, FALSE), 0)</f>
        <v/>
      </c>
      <c r="D12" s="8" t="n"/>
      <c r="E12" s="10">
        <f>C12*D12</f>
        <v/>
      </c>
      <c r="F12" s="9" t="n"/>
    </row>
    <row r="13">
      <c r="A13" s="4" t="n">
        <v>9</v>
      </c>
      <c r="B13" s="5" t="n"/>
      <c r="C13" s="6">
        <f>IFERROR(VLOOKUP(B13, 'Daftar Menu'!$C$5:$E$100, 3, FALSE), 0)</f>
        <v/>
      </c>
      <c r="D13" s="4" t="n"/>
      <c r="E13" s="6">
        <f>C13*D13</f>
        <v/>
      </c>
      <c r="F13" s="5" t="n"/>
    </row>
    <row r="14">
      <c r="A14" s="8" t="n">
        <v>10</v>
      </c>
      <c r="B14" s="9" t="n"/>
      <c r="C14" s="10">
        <f>IFERROR(VLOOKUP(B14, 'Daftar Menu'!$C$5:$E$100, 3, FALSE), 0)</f>
        <v/>
      </c>
      <c r="D14" s="8" t="n"/>
      <c r="E14" s="10">
        <f>C14*D14</f>
        <v/>
      </c>
      <c r="F14" s="9" t="n"/>
    </row>
    <row r="15">
      <c r="A15" s="11" t="inlineStr"/>
      <c r="B15" s="12" t="inlineStr">
        <is>
          <t>TOTAL BELANJA</t>
        </is>
      </c>
      <c r="C15" s="11" t="n"/>
      <c r="D15" s="11" t="n"/>
      <c r="E15" s="13">
        <f>SUM(E5:E14)</f>
        <v/>
      </c>
      <c r="F15" s="11" t="n"/>
    </row>
  </sheetData>
  <mergeCells count="1">
    <mergeCell ref="B15:D15"/>
  </mergeCells>
  <dataValidations count="1">
    <dataValidation sqref="B5:B14" showDropDown="0" showInputMessage="0" showErrorMessage="0" allowBlank="1" type="list">
      <formula1>'Daftar Menu'!$C$5:$C$33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2026-10-03T14:09:24Z</dcterms:created>
  <dcterms:modified xmlns:dcterms="http://purl.org/dc/terms/" xmlns:xsi="http://www.w3.org/2001/XMLSchema-instance" xsi:type="dcterms:W3CDTF">2026-10-03T14:09:24Z</dcterms:modified>
</cp:coreProperties>
</file>